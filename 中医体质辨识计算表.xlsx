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fullCalcOnLoad="1"/>
</workbook>
</file>

<file path=xl/sharedStrings.xml><?xml version="1.0" encoding="utf-8"?>
<sst xmlns="http://schemas.openxmlformats.org/spreadsheetml/2006/main" count="109" uniqueCount="109">
  <si>
    <t/>
  </si>
  <si>
    <t>是</t>
  </si>
  <si>
    <t>请根据近一年的体验和感觉，回答以下问题。</t>
  </si>
  <si>
    <t>没有</t>
  </si>
  <si>
    <t>很少</t>
  </si>
  <si>
    <t>有时</t>
  </si>
  <si>
    <t>经常</t>
  </si>
  <si>
    <t>总是</t>
  </si>
  <si>
    <t>得分</t>
  </si>
  <si>
    <t>体质类型及对应条目</t>
  </si>
  <si>
    <t>实际
得分</t>
  </si>
  <si>
    <t>判定结果</t>
  </si>
  <si>
    <t>判定
结果</t>
  </si>
  <si>
    <t>(根本不/从来没有)</t>
  </si>
  <si>
    <t>(有一点/偶尔)</t>
  </si>
  <si>
    <t>(有些/少数时间)</t>
  </si>
  <si>
    <t>(相当/多数时间)</t>
  </si>
  <si>
    <t>(非常/每天)</t>
  </si>
  <si>
    <t>(1)您精力充沛吗？（指精神头足，乐于做事）</t>
  </si>
  <si>
    <t>否</t>
  </si>
  <si>
    <t>(2)您容易疲乏吗？（指体力如何，是否稍微活动一下或做一点家务劳动就感到累）</t>
  </si>
  <si>
    <t>(3)您容易气短，呼吸短促，接不上气吗？</t>
  </si>
  <si>
    <t>(4)您说话声音低弱无力吗?（指说话没有力气）</t>
  </si>
  <si>
    <t>倾向是</t>
  </si>
  <si>
    <t>(5)您感到闷闷不乐、情绪低沉吗?（指心情不愉快，情绪低落）</t>
  </si>
  <si>
    <t>(6)您容易精神紧张、焦虑不安吗?（指遇事是否心情紧张）</t>
  </si>
  <si>
    <t>(7)您因为生活状态改变而感到孤独、失落吗？</t>
  </si>
  <si>
    <t>(8)您容易感到害怕或受到惊吓吗?</t>
  </si>
  <si>
    <t>(9)您感到身体超重不轻松吗?(感觉身体沉重)
[BMI指数=体重（kg）/身高2（m）]</t>
  </si>
  <si>
    <t>1
（BMI&lt;24）</t>
  </si>
  <si>
    <t>2
（24≤BMI&lt;25）</t>
  </si>
  <si>
    <t>3
（25≤BMI&lt;26）</t>
  </si>
  <si>
    <t>4
（26≤BMI&lt;28）</t>
  </si>
  <si>
    <t>5
（BMI≥28）</t>
  </si>
  <si>
    <t>(10)您眼睛干涩吗?</t>
  </si>
  <si>
    <t>基本是</t>
  </si>
  <si>
    <t>(11)您手脚发凉吗?（不包含因周围温度低或穿的少导致的手脚发冷）</t>
  </si>
  <si>
    <t>不满足上述条件者</t>
  </si>
  <si>
    <t>(12)您胃脘部、背部或腰膝部怕冷吗？（指上腹部、背部、腰部或膝关节等，有一处或多处怕冷）</t>
  </si>
  <si>
    <t>(13)您比一般人耐受不了寒冷吗？（指比别人容易害怕冬天或是夏天的冷空调、电扇等）</t>
  </si>
  <si>
    <t>(14)您容易患感冒吗?（指每年感冒的次数）</t>
  </si>
  <si>
    <t>2
(一年感冒2-4次）</t>
  </si>
  <si>
    <t>3
（一年感冒5-6次）</t>
  </si>
  <si>
    <t>4
（一年8次以上）</t>
  </si>
  <si>
    <t>5
（几乎每月都感冒）</t>
  </si>
  <si>
    <t>(15)您没有感冒时也会鼻塞、流鼻涕吗?</t>
  </si>
  <si>
    <t>(16)您有口粘口腻，或睡眠打鼾吗？</t>
  </si>
  <si>
    <t>(17)您容易过敏(对药物、食物、气味、花粉或在季节交替、气候变化时)吗?</t>
  </si>
  <si>
    <t>1
从来没有</t>
  </si>
  <si>
    <t>2
一年1、2次</t>
  </si>
  <si>
    <t>3
一年3、4次</t>
  </si>
  <si>
    <t>4
一年5、6次</t>
  </si>
  <si>
    <t>5
每次遇到上述原因都过敏</t>
  </si>
  <si>
    <t>(18)您的皮肤容易起荨麻疹吗? (包括风团、风疹块、风疙瘩)</t>
  </si>
  <si>
    <t>(19)您的皮肤在不知不觉中会出现青紫瘀斑、皮下出血吗?（指皮肤在没有外伤的情况下出现青一块紫一块的情况）</t>
  </si>
  <si>
    <t>(20)您的皮肤一抓就红，并出现抓痕吗?（指被指甲或钝物划过后皮肤的反应）</t>
  </si>
  <si>
    <t>(21)您皮肤或口唇干吗?</t>
  </si>
  <si>
    <t>(22)您有肢体麻木或固定部位疼痛的感觉吗？</t>
  </si>
  <si>
    <t>(23)您面部或鼻部有油腻感或者油亮发光吗?（指脸上或鼻子）</t>
  </si>
  <si>
    <t>(24)您面色或目眶晦黯，或出现褐色斑块/斑点吗?</t>
  </si>
  <si>
    <t>(25)您有皮肤湿疹、疮疖吗？</t>
  </si>
  <si>
    <t>(26)您感到口干咽燥、总想喝水吗？</t>
  </si>
  <si>
    <t>(27)您感到口苦或嘴里有异味吗?（指口苦或口臭）</t>
  </si>
  <si>
    <t>(28)您腹部肥大吗?（指腹部脂肪肥厚）</t>
  </si>
  <si>
    <t>(29)您吃(喝)凉的东西会感到不舒服或者怕吃(喝)凉的东西吗？（指不喜欢吃凉的食物，或吃了凉的食物后会不舒服）</t>
  </si>
  <si>
    <t>(30)您有大便黏滞不爽、解不尽的感觉吗?(大便容易粘在马桶或便坑壁上)</t>
  </si>
  <si>
    <t>(31)您容易大便干燥吗?</t>
  </si>
  <si>
    <t>(32)您舌苔厚腻或有舌苔厚厚的感觉吗?（如果自我感觉不清楚可由调查员观察后填写）</t>
  </si>
  <si>
    <t>(33)您舌下静脉瘀紫或增粗吗？（可由调查员辅助观察后填写）</t>
  </si>
  <si>
    <t>判定</t>
  </si>
  <si>
    <t>实际得分</t>
  </si>
  <si>
    <t>结果</t>
  </si>
  <si>
    <r>
      <t>条</t>
    </r>
    <r>
      <rPr>
        <rFont val="Times New Roman"/>
        <family val="1"/>
        <b val="1"/>
        <sz val="15"/>
      </rPr>
      <t xml:space="preserve">  </t>
    </r>
    <r>
      <rPr>
        <rFont val="仿宋_GB2312"/>
        <family val="3"/>
        <b val="1"/>
        <sz val="15"/>
      </rPr>
      <t>件</t>
    </r>
  </si>
  <si>
    <r>
      <t>气虚质（</t>
    </r>
    <r>
      <rPr>
        <rFont val="Times New Roman"/>
        <family val="1"/>
        <sz val="10"/>
      </rPr>
      <t>2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3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4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14</t>
    </r>
    <r>
      <rPr>
        <rFont val="仿宋_GB2312"/>
        <family val="3"/>
        <sz val="10"/>
      </rPr>
      <t>）</t>
    </r>
  </si>
  <si>
    <r>
      <t>各条目得分相加≥</t>
    </r>
    <r>
      <rPr>
        <rFont val="Times New Roman"/>
        <family val="1"/>
        <sz val="9"/>
      </rPr>
      <t>11</t>
    </r>
    <r>
      <rPr>
        <rFont val="仿宋_GB2312"/>
        <family val="3"/>
        <sz val="9"/>
      </rPr>
      <t>分</t>
    </r>
  </si>
  <si>
    <r>
      <t>阳虚质（</t>
    </r>
    <r>
      <rPr>
        <rFont val="Times New Roman"/>
        <family val="1"/>
        <sz val="10"/>
      </rPr>
      <t>11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12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13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29</t>
    </r>
    <r>
      <rPr>
        <rFont val="仿宋_GB2312"/>
        <family val="3"/>
        <sz val="10"/>
      </rPr>
      <t>）</t>
    </r>
  </si>
  <si>
    <r>
      <t>阴虚质（</t>
    </r>
    <r>
      <rPr>
        <rFont val="Times New Roman"/>
        <family val="1"/>
        <sz val="10"/>
      </rPr>
      <t>10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21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26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31</t>
    </r>
    <r>
      <rPr>
        <rFont val="仿宋_GB2312"/>
        <family val="3"/>
        <sz val="10"/>
      </rPr>
      <t>）</t>
    </r>
  </si>
  <si>
    <r>
      <t>痰湿质（</t>
    </r>
    <r>
      <rPr>
        <rFont val="Times New Roman"/>
        <family val="1"/>
        <sz val="10"/>
      </rPr>
      <t>9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16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28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32</t>
    </r>
    <r>
      <rPr>
        <rFont val="仿宋_GB2312"/>
        <family val="3"/>
        <sz val="10"/>
      </rPr>
      <t>）</t>
    </r>
  </si>
  <si>
    <r>
      <t>各条目得分相加</t>
    </r>
    <r>
      <rPr>
        <rFont val="Times New Roman"/>
        <family val="1"/>
        <sz val="9"/>
      </rPr>
      <t>9</t>
    </r>
    <r>
      <rPr>
        <rFont val="仿宋_GB2312"/>
        <family val="3"/>
        <sz val="9"/>
      </rPr>
      <t>～</t>
    </r>
    <r>
      <rPr>
        <rFont val="Times New Roman"/>
        <family val="1"/>
        <sz val="9"/>
      </rPr>
      <t>10</t>
    </r>
    <r>
      <rPr>
        <rFont val="仿宋_GB2312"/>
        <family val="3"/>
        <sz val="9"/>
      </rPr>
      <t>分</t>
    </r>
  </si>
  <si>
    <r>
      <t>湿热质（</t>
    </r>
    <r>
      <rPr>
        <rFont val="Times New Roman"/>
        <family val="1"/>
        <sz val="10"/>
      </rPr>
      <t>23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25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27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30</t>
    </r>
    <r>
      <rPr>
        <rFont val="仿宋_GB2312"/>
        <family val="3"/>
        <sz val="10"/>
      </rPr>
      <t>）</t>
    </r>
  </si>
  <si>
    <r>
      <t>血瘀质（</t>
    </r>
    <r>
      <rPr>
        <rFont val="Times New Roman"/>
        <family val="1"/>
        <sz val="10"/>
      </rPr>
      <t>19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22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24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33</t>
    </r>
    <r>
      <rPr>
        <rFont val="仿宋_GB2312"/>
        <family val="3"/>
        <sz val="10"/>
      </rPr>
      <t>）</t>
    </r>
  </si>
  <si>
    <r>
      <t>气郁质（</t>
    </r>
    <r>
      <rPr>
        <rFont val="Times New Roman"/>
        <family val="1"/>
        <sz val="10"/>
      </rPr>
      <t>5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6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7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8</t>
    </r>
    <r>
      <rPr>
        <rFont val="仿宋_GB2312"/>
        <family val="3"/>
        <sz val="10"/>
      </rPr>
      <t>）</t>
    </r>
  </si>
  <si>
    <r>
      <t>各条目得分相加≤</t>
    </r>
    <r>
      <rPr>
        <rFont val="Times New Roman"/>
        <family val="1"/>
        <sz val="9"/>
      </rPr>
      <t>8</t>
    </r>
    <r>
      <rPr>
        <rFont val="仿宋_GB2312"/>
        <family val="3"/>
        <sz val="9"/>
      </rPr>
      <t>分</t>
    </r>
  </si>
  <si>
    <r>
      <t>特禀质（</t>
    </r>
    <r>
      <rPr>
        <rFont val="Times New Roman"/>
        <family val="1"/>
        <sz val="10"/>
      </rPr>
      <t>15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17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18</t>
    </r>
    <r>
      <rPr>
        <rFont val="仿宋_GB2312"/>
        <family val="3"/>
        <sz val="10"/>
      </rPr>
      <t>）（</t>
    </r>
    <r>
      <rPr>
        <rFont val="Times New Roman"/>
        <family val="1"/>
        <sz val="10"/>
      </rPr>
      <t>20</t>
    </r>
    <r>
      <rPr>
        <rFont val="仿宋_GB2312"/>
        <family val="3"/>
        <sz val="10"/>
      </rPr>
      <t>）</t>
    </r>
  </si>
  <si>
    <r>
      <t>平和质（</t>
    </r>
    <r>
      <rPr>
        <rFont val="Times New Roman"/>
        <family val="1"/>
        <sz val="9"/>
      </rPr>
      <t>1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2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4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5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13</t>
    </r>
    <r>
      <rPr>
        <rFont val="仿宋_GB2312"/>
        <family val="3"/>
        <sz val="9"/>
      </rPr>
      <t>）
（其中，（</t>
    </r>
    <r>
      <rPr>
        <rFont val="Times New Roman"/>
        <family val="1"/>
        <sz val="9"/>
      </rPr>
      <t>2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4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5</t>
    </r>
    <r>
      <rPr>
        <rFont val="仿宋_GB2312"/>
        <family val="3"/>
        <sz val="9"/>
      </rPr>
      <t>）（</t>
    </r>
    <r>
      <rPr>
        <rFont val="Times New Roman"/>
        <family val="1"/>
        <sz val="9"/>
      </rPr>
      <t>13</t>
    </r>
    <r>
      <rPr>
        <rFont val="仿宋_GB2312"/>
        <family val="3"/>
        <sz val="9"/>
      </rPr>
      <t>）反向计分，即</t>
    </r>
    <r>
      <rPr>
        <rFont val="Times New Roman"/>
        <family val="1"/>
        <sz val="9"/>
      </rPr>
      <t>1</t>
    </r>
    <r>
      <rPr>
        <rFont val="仿宋_GB2312"/>
        <family val="3"/>
        <sz val="9"/>
      </rPr>
      <t>→</t>
    </r>
    <r>
      <rPr>
        <rFont val="Times New Roman"/>
        <family val="1"/>
        <sz val="9"/>
      </rPr>
      <t>5</t>
    </r>
    <r>
      <rPr>
        <rFont val="仿宋_GB2312"/>
        <family val="3"/>
        <sz val="9"/>
      </rPr>
      <t>，</t>
    </r>
    <r>
      <rPr>
        <rFont val="Times New Roman"/>
        <family val="1"/>
        <sz val="9"/>
      </rPr>
      <t>2</t>
    </r>
    <r>
      <rPr>
        <rFont val="仿宋_GB2312"/>
        <family val="3"/>
        <sz val="9"/>
      </rPr>
      <t>→</t>
    </r>
    <r>
      <rPr>
        <rFont val="Times New Roman"/>
        <family val="1"/>
        <sz val="9"/>
      </rPr>
      <t>4</t>
    </r>
    <r>
      <rPr>
        <rFont val="仿宋_GB2312"/>
        <family val="3"/>
        <sz val="9"/>
      </rPr>
      <t>，</t>
    </r>
    <r>
      <rPr>
        <rFont val="Times New Roman"/>
        <family val="1"/>
        <sz val="9"/>
      </rPr>
      <t>3</t>
    </r>
    <r>
      <rPr>
        <rFont val="仿宋_GB2312"/>
        <family val="3"/>
        <sz val="9"/>
      </rPr>
      <t>→</t>
    </r>
    <r>
      <rPr>
        <rFont val="Times New Roman"/>
        <family val="1"/>
        <sz val="9"/>
      </rPr>
      <t>3</t>
    </r>
    <r>
      <rPr>
        <rFont val="仿宋_GB2312"/>
        <family val="3"/>
        <sz val="9"/>
      </rPr>
      <t>，</t>
    </r>
    <r>
      <rPr>
        <rFont val="Times New Roman"/>
        <family val="1"/>
        <sz val="9"/>
      </rPr>
      <t>4</t>
    </r>
    <r>
      <rPr>
        <rFont val="仿宋_GB2312"/>
        <family val="3"/>
        <sz val="9"/>
      </rPr>
      <t>→</t>
    </r>
    <r>
      <rPr>
        <rFont val="Times New Roman"/>
        <family val="1"/>
        <sz val="9"/>
      </rPr>
      <t>2</t>
    </r>
    <r>
      <rPr>
        <rFont val="仿宋_GB2312"/>
        <family val="3"/>
        <sz val="9"/>
      </rPr>
      <t>，</t>
    </r>
    <r>
      <rPr>
        <rFont val="Times New Roman"/>
        <family val="1"/>
        <sz val="9"/>
      </rPr>
      <t>5</t>
    </r>
    <r>
      <rPr>
        <rFont val="仿宋_GB2312"/>
        <family val="3"/>
        <sz val="9"/>
      </rPr>
      <t>→</t>
    </r>
    <r>
      <rPr>
        <rFont val="Times New Roman"/>
        <family val="1"/>
        <sz val="9"/>
      </rPr>
      <t>1</t>
    </r>
    <r>
      <rPr>
        <rFont val="仿宋_GB2312"/>
        <family val="3"/>
        <sz val="9"/>
      </rPr>
      <t>）</t>
    </r>
  </si>
  <si>
    <r>
      <t>各条目得分相加≥</t>
    </r>
    <r>
      <rPr>
        <rFont val="Times New Roman"/>
        <family val="1"/>
        <sz val="9"/>
      </rPr>
      <t>17</t>
    </r>
    <r>
      <rPr>
        <rFont val="仿宋_GB2312"/>
        <family val="3"/>
        <sz val="9"/>
      </rPr>
      <t>分，同时其他</t>
    </r>
    <r>
      <rPr>
        <rFont val="Times New Roman"/>
        <family val="1"/>
        <sz val="9"/>
      </rPr>
      <t>8</t>
    </r>
    <r>
      <rPr>
        <rFont val="仿宋_GB2312"/>
        <family val="3"/>
        <sz val="9"/>
      </rPr>
      <t>种体质得分都＜</t>
    </r>
    <r>
      <rPr>
        <rFont val="Times New Roman"/>
        <family val="1"/>
        <sz val="9"/>
      </rPr>
      <t>8</t>
    </r>
    <r>
      <rPr>
        <rFont val="仿宋_GB2312"/>
        <family val="3"/>
        <sz val="9"/>
      </rPr>
      <t>分</t>
    </r>
  </si>
  <si>
    <r>
      <t>各条目得分相加≥</t>
    </r>
    <r>
      <rPr>
        <rFont val="Times New Roman"/>
        <family val="1"/>
        <sz val="9"/>
      </rPr>
      <t>17</t>
    </r>
    <r>
      <rPr>
        <rFont val="仿宋_GB2312"/>
        <family val="3"/>
        <sz val="9"/>
      </rPr>
      <t>分，同时其他</t>
    </r>
    <r>
      <rPr>
        <rFont val="Times New Roman"/>
        <family val="1"/>
        <sz val="9"/>
      </rPr>
      <t>8</t>
    </r>
    <r>
      <rPr>
        <rFont val="仿宋_GB2312"/>
        <family val="3"/>
        <sz val="9"/>
      </rPr>
      <t>种体质得分都＜</t>
    </r>
    <r>
      <rPr>
        <rFont val="Times New Roman"/>
        <family val="1"/>
        <sz val="9"/>
      </rPr>
      <t>10</t>
    </r>
    <r>
      <rPr>
        <rFont val="仿宋_GB2312"/>
        <family val="3"/>
        <sz val="9"/>
      </rPr>
      <t>分</t>
    </r>
  </si>
  <si>
    <r>
      <t>1
(一年</t>
    </r>
    <r>
      <rPr>
        <rFont val="宋体"/>
        <charset val="-122"/>
        <family val="0"/>
        <sz val="8"/>
      </rPr>
      <t>&lt;</t>
    </r>
    <r>
      <rPr>
        <rFont val="宋体"/>
        <charset val="-122"/>
        <family val="0"/>
        <sz val="8"/>
      </rPr>
      <t>2次)</t>
    </r>
  </si>
  <si>
    <r>
      <t>1
（腹围</t>
    </r>
    <r>
      <rPr>
        <rFont val="宋体"/>
        <charset val="-122"/>
        <family val="0"/>
        <sz val="8"/>
      </rPr>
      <t>&lt;80cm，相当于</t>
    </r>
    <r>
      <rPr>
        <rFont val="宋体"/>
        <charset val="-122"/>
        <family val="0"/>
        <sz val="8"/>
      </rPr>
      <t>2.4尺）</t>
    </r>
  </si>
  <si>
    <r>
      <t>2
(腹围</t>
    </r>
    <r>
      <rPr>
        <rFont val="宋体"/>
        <charset val="-122"/>
        <family val="0"/>
        <sz val="8"/>
      </rPr>
      <t>80-85cm，</t>
    </r>
    <r>
      <rPr>
        <rFont val="宋体"/>
        <charset val="-122"/>
        <family val="0"/>
        <sz val="8"/>
      </rPr>
      <t>2.4-2.55尺)</t>
    </r>
  </si>
  <si>
    <r>
      <t>3
(腹围</t>
    </r>
    <r>
      <rPr>
        <rFont val="宋体"/>
        <charset val="-122"/>
        <family val="0"/>
        <sz val="8"/>
      </rPr>
      <t>86-90cm，</t>
    </r>
    <r>
      <rPr>
        <rFont val="宋体"/>
        <charset val="-122"/>
        <family val="0"/>
        <sz val="8"/>
      </rPr>
      <t>2.56-2.7尺)</t>
    </r>
  </si>
  <si>
    <r>
      <t>4
(腹围</t>
    </r>
    <r>
      <rPr>
        <rFont val="宋体"/>
        <charset val="-122"/>
        <family val="0"/>
        <sz val="8"/>
      </rPr>
      <t>91-105cm，</t>
    </r>
    <r>
      <rPr>
        <rFont val="宋体"/>
        <charset val="-122"/>
        <family val="0"/>
        <sz val="8"/>
      </rPr>
      <t>2.71-3.15尺)</t>
    </r>
  </si>
  <si>
    <r>
      <t>5
(腹围</t>
    </r>
    <r>
      <rPr>
        <rFont val="宋体"/>
        <charset val="-122"/>
        <family val="0"/>
        <sz val="8"/>
      </rPr>
      <t>&gt;105cm或</t>
    </r>
    <r>
      <rPr>
        <rFont val="宋体"/>
        <charset val="-122"/>
        <family val="0"/>
        <sz val="8"/>
      </rPr>
      <t>3.15尺)</t>
    </r>
  </si>
  <si>
    <r>
      <t>条</t>
    </r>
    <r>
      <rPr>
        <rFont val="Times New Roman"/>
        <family val="1"/>
        <sz val="15"/>
      </rPr>
      <t xml:space="preserve">  </t>
    </r>
    <r>
      <rPr>
        <rFont val="仿宋_GB2312"/>
        <family val="3"/>
        <sz val="15"/>
      </rPr>
      <t>件</t>
    </r>
  </si>
  <si>
    <r>
      <t>气虚质（</t>
    </r>
    <r>
      <rPr>
        <rFont val="Times New Roman"/>
        <family val="1"/>
        <sz val="15"/>
      </rPr>
      <t>2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3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4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14</t>
    </r>
    <r>
      <rPr>
        <rFont val="仿宋_GB2312"/>
        <family val="3"/>
        <sz val="15"/>
      </rPr>
      <t>）</t>
    </r>
  </si>
  <si>
    <r>
      <t>各条目得分相加≥</t>
    </r>
    <r>
      <rPr>
        <rFont val="Times New Roman"/>
        <family val="1"/>
        <sz val="15"/>
      </rPr>
      <t>11</t>
    </r>
    <r>
      <rPr>
        <rFont val="仿宋_GB2312"/>
        <family val="3"/>
        <sz val="15"/>
      </rPr>
      <t>分</t>
    </r>
  </si>
  <si>
    <r>
      <t>阳虚质（</t>
    </r>
    <r>
      <rPr>
        <rFont val="Times New Roman"/>
        <family val="1"/>
        <sz val="15"/>
      </rPr>
      <t>11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12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13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29</t>
    </r>
    <r>
      <rPr>
        <rFont val="仿宋_GB2312"/>
        <family val="3"/>
        <sz val="15"/>
      </rPr>
      <t>）</t>
    </r>
  </si>
  <si>
    <r>
      <t>阴虚质（</t>
    </r>
    <r>
      <rPr>
        <rFont val="Times New Roman"/>
        <family val="1"/>
        <sz val="15"/>
      </rPr>
      <t>10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21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26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31</t>
    </r>
    <r>
      <rPr>
        <rFont val="仿宋_GB2312"/>
        <family val="3"/>
        <sz val="15"/>
      </rPr>
      <t>）</t>
    </r>
  </si>
  <si>
    <r>
      <t>痰湿质（</t>
    </r>
    <r>
      <rPr>
        <rFont val="Times New Roman"/>
        <family val="1"/>
        <sz val="15"/>
      </rPr>
      <t>9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16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28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32</t>
    </r>
    <r>
      <rPr>
        <rFont val="仿宋_GB2312"/>
        <family val="3"/>
        <sz val="15"/>
      </rPr>
      <t>）</t>
    </r>
  </si>
  <si>
    <r>
      <t>湿热质（</t>
    </r>
    <r>
      <rPr>
        <rFont val="Times New Roman"/>
        <family val="1"/>
        <sz val="15"/>
      </rPr>
      <t>23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25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27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30</t>
    </r>
    <r>
      <rPr>
        <rFont val="仿宋_GB2312"/>
        <family val="3"/>
        <sz val="15"/>
      </rPr>
      <t>）</t>
    </r>
  </si>
  <si>
    <r>
      <t>血瘀质（</t>
    </r>
    <r>
      <rPr>
        <rFont val="Times New Roman"/>
        <family val="1"/>
        <sz val="15"/>
      </rPr>
      <t>19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22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24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33</t>
    </r>
    <r>
      <rPr>
        <rFont val="仿宋_GB2312"/>
        <family val="3"/>
        <sz val="15"/>
      </rPr>
      <t>）</t>
    </r>
  </si>
  <si>
    <r>
      <t>气郁质（</t>
    </r>
    <r>
      <rPr>
        <rFont val="Times New Roman"/>
        <family val="1"/>
        <sz val="15"/>
      </rPr>
      <t>5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6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7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8</t>
    </r>
    <r>
      <rPr>
        <rFont val="仿宋_GB2312"/>
        <family val="3"/>
        <sz val="15"/>
      </rPr>
      <t>）</t>
    </r>
  </si>
  <si>
    <r>
      <t>各条目得分相加</t>
    </r>
    <r>
      <rPr>
        <rFont val="Times New Roman"/>
        <family val="1"/>
        <sz val="15"/>
      </rPr>
      <t>9</t>
    </r>
    <r>
      <rPr>
        <rFont val="仿宋_GB2312"/>
        <family val="3"/>
        <sz val="15"/>
      </rPr>
      <t>～</t>
    </r>
    <r>
      <rPr>
        <rFont val="Times New Roman"/>
        <family val="1"/>
        <sz val="15"/>
      </rPr>
      <t>10</t>
    </r>
    <r>
      <rPr>
        <rFont val="仿宋_GB2312"/>
        <family val="3"/>
        <sz val="15"/>
      </rPr>
      <t>分</t>
    </r>
  </si>
  <si>
    <r>
      <t>特禀质（</t>
    </r>
    <r>
      <rPr>
        <rFont val="Times New Roman"/>
        <family val="1"/>
        <sz val="15"/>
      </rPr>
      <t>15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17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18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20</t>
    </r>
    <r>
      <rPr>
        <rFont val="仿宋_GB2312"/>
        <family val="3"/>
        <sz val="15"/>
      </rPr>
      <t>）</t>
    </r>
  </si>
  <si>
    <r>
      <t>各条目得分相加≤</t>
    </r>
    <r>
      <rPr>
        <rFont val="Times New Roman"/>
        <family val="1"/>
        <sz val="15"/>
      </rPr>
      <t>8</t>
    </r>
    <r>
      <rPr>
        <rFont val="仿宋_GB2312"/>
        <family val="3"/>
        <sz val="15"/>
      </rPr>
      <t>分</t>
    </r>
  </si>
  <si>
    <r>
      <t>平和质（</t>
    </r>
    <r>
      <rPr>
        <rFont val="Times New Roman"/>
        <family val="1"/>
        <sz val="15"/>
      </rPr>
      <t>1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2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4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5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13</t>
    </r>
    <r>
      <rPr>
        <rFont val="仿宋_GB2312"/>
        <family val="3"/>
        <sz val="15"/>
      </rPr>
      <t>）</t>
    </r>
  </si>
  <si>
    <r>
      <t>各条目得分相加≥</t>
    </r>
    <r>
      <rPr>
        <rFont val="Times New Roman"/>
        <family val="1"/>
        <sz val="15"/>
      </rPr>
      <t>17</t>
    </r>
    <r>
      <rPr>
        <rFont val="仿宋_GB2312"/>
        <family val="3"/>
        <sz val="15"/>
      </rPr>
      <t>分，同时其他</t>
    </r>
    <r>
      <rPr>
        <rFont val="Times New Roman"/>
        <family val="1"/>
        <sz val="15"/>
      </rPr>
      <t>8</t>
    </r>
    <r>
      <rPr>
        <rFont val="仿宋_GB2312"/>
        <family val="3"/>
        <sz val="15"/>
      </rPr>
      <t>种体质得分都＜</t>
    </r>
    <r>
      <rPr>
        <rFont val="Times New Roman"/>
        <family val="1"/>
        <sz val="15"/>
      </rPr>
      <t>8</t>
    </r>
    <r>
      <rPr>
        <rFont val="仿宋_GB2312"/>
        <family val="3"/>
        <sz val="15"/>
      </rPr>
      <t>分</t>
    </r>
  </si>
  <si>
    <r>
      <t>（其中，（</t>
    </r>
    <r>
      <rPr>
        <rFont val="Times New Roman"/>
        <family val="1"/>
        <sz val="15"/>
      </rPr>
      <t>2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4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5</t>
    </r>
    <r>
      <rPr>
        <rFont val="仿宋_GB2312"/>
        <family val="3"/>
        <sz val="15"/>
      </rPr>
      <t>）（</t>
    </r>
    <r>
      <rPr>
        <rFont val="Times New Roman"/>
        <family val="1"/>
        <sz val="15"/>
      </rPr>
      <t>13</t>
    </r>
    <r>
      <rPr>
        <rFont val="仿宋_GB2312"/>
        <family val="3"/>
        <sz val="15"/>
      </rPr>
      <t>）反向计分，即</t>
    </r>
    <r>
      <rPr>
        <rFont val="Times New Roman"/>
        <family val="1"/>
        <sz val="15"/>
      </rPr>
      <t>1→5</t>
    </r>
    <r>
      <rPr>
        <rFont val="仿宋_GB2312"/>
        <family val="3"/>
        <sz val="15"/>
      </rPr>
      <t>，</t>
    </r>
    <r>
      <rPr>
        <rFont val="Times New Roman"/>
        <family val="1"/>
        <sz val="15"/>
      </rPr>
      <t>2→4</t>
    </r>
    <r>
      <rPr>
        <rFont val="仿宋_GB2312"/>
        <family val="3"/>
        <sz val="15"/>
      </rPr>
      <t>，</t>
    </r>
    <r>
      <rPr>
        <rFont val="Times New Roman"/>
        <family val="1"/>
        <sz val="15"/>
      </rPr>
      <t>3→3</t>
    </r>
    <r>
      <rPr>
        <rFont val="仿宋_GB2312"/>
        <family val="3"/>
        <sz val="15"/>
      </rPr>
      <t>，</t>
    </r>
    <r>
      <rPr>
        <rFont val="Times New Roman"/>
        <family val="1"/>
        <sz val="15"/>
      </rPr>
      <t>4→2</t>
    </r>
    <r>
      <rPr>
        <rFont val="仿宋_GB2312"/>
        <family val="3"/>
        <sz val="15"/>
      </rPr>
      <t>，</t>
    </r>
    <r>
      <rPr>
        <rFont val="Times New Roman"/>
        <family val="1"/>
        <sz val="15"/>
      </rPr>
      <t>5→1</t>
    </r>
    <r>
      <rPr>
        <rFont val="仿宋_GB2312"/>
        <family val="3"/>
        <sz val="15"/>
      </rPr>
      <t>）</t>
    </r>
  </si>
  <si>
    <r>
      <t>各条目得分相加≥</t>
    </r>
    <r>
      <rPr>
        <rFont val="Times New Roman"/>
        <family val="1"/>
        <sz val="15"/>
      </rPr>
      <t>17</t>
    </r>
    <r>
      <rPr>
        <rFont val="仿宋_GB2312"/>
        <family val="3"/>
        <sz val="15"/>
      </rPr>
      <t>分，同时其他</t>
    </r>
    <r>
      <rPr>
        <rFont val="Times New Roman"/>
        <family val="1"/>
        <sz val="15"/>
      </rPr>
      <t>8</t>
    </r>
    <r>
      <rPr>
        <rFont val="仿宋_GB2312"/>
        <family val="3"/>
        <sz val="15"/>
      </rPr>
      <t>种体质得分都＜</t>
    </r>
    <r>
      <rPr>
        <rFont val="Times New Roman"/>
        <family val="1"/>
        <sz val="15"/>
      </rPr>
      <t>10</t>
    </r>
    <r>
      <rPr>
        <rFont val="仿宋_GB2312"/>
        <family val="3"/>
        <sz val="15"/>
      </rPr>
      <t>分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</si>
</sst>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¥&quot;* #,##0_ ;_ &quot;¥&quot;* \-#,##0_ ;_ &quot;¥&quot;* &quot;-&quot;_ ;_ @_ "/>
    <numFmt numFmtId="302" formatCode="_ * #,##0.00_ ;_ * \-#,##0.00_ ;_ * &quot;-&quot;??_ ;_ @_ "/>
    <numFmt numFmtId="303" formatCode="_ &quot;¥&quot;* #,##0.00_ ;_ &quot;¥&quot;* \-#,##0.00_ ;_ &quot;¥&quot;* &quot;-&quot;??_ ;_ @_ "/>
    <numFmt numFmtId="304" formatCode="0%"/>
    <numFmt numFmtId="305" formatCode="_ * #,##0_ ;_ * \-#,##0_ ;_ * &quot;-&quot;_ ;_ @_ "/>
  </numFmts>
  <fonts count="36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color rgb="FF006100"/>
      <sz val="12"/>
    </font>
    <font>
      <name val="宋体"/>
      <charset val="-122"/>
      <family val="0"/>
      <b val="1"/>
      <sz val="10"/>
    </font>
    <font>
      <name val="宋体"/>
      <charset val="-122"/>
      <family val="0"/>
      <b val="1"/>
      <sz val="9"/>
    </font>
    <font>
      <name val="仿宋_GB2312"/>
      <family val="3"/>
      <b val="1"/>
      <sz val="15"/>
    </font>
    <font>
      <name val="宋体"/>
      <charset val="-122"/>
      <family val="0"/>
      <b val="1"/>
      <color rgb="FF006100"/>
      <sz val="11"/>
    </font>
    <font>
      <name val="仿宋_GB2312"/>
      <family val="3"/>
      <b val="1"/>
      <sz val="12"/>
    </font>
    <font>
      <name val="宋体"/>
      <charset val="-122"/>
      <family val="0"/>
      <sz val="8"/>
    </font>
    <font>
      <name val="宋体"/>
      <charset val="-122"/>
      <family val="0"/>
      <sz val="9"/>
    </font>
    <font>
      <name val="宋体"/>
      <charset val="-122"/>
      <family val="0"/>
      <sz val="10"/>
    </font>
    <font>
      <name val="宋体"/>
      <charset val="-122"/>
      <family val="0"/>
      <color rgb="FF7030A0"/>
      <sz val="16"/>
    </font>
    <font>
      <name val="仿宋_GB2312"/>
      <family val="3"/>
      <sz val="10"/>
    </font>
    <font>
      <name val="仿宋_GB2312"/>
      <family val="3"/>
      <sz val="9"/>
    </font>
    <font>
      <name val="宋体"/>
      <charset val="-122"/>
      <family val="0"/>
      <b val="1"/>
      <color rgb="FF3366FF"/>
      <sz val="10"/>
    </font>
    <font>
      <name val="仿宋_GB2312"/>
      <family val="3"/>
      <sz val="15"/>
    </font>
    <font>
      <color rgb="FFFF0000"/>
    </font>
    <font>
      <name val="宋体"/>
      <charset val="-122"/>
      <family val="0"/>
      <sz val="12"/>
    </font>
    <font>
      <name val="宋体"/>
      <charset val="-122"/>
      <family val="0"/>
      <color rgb="FFFA7D00"/>
      <sz val="11"/>
    </font>
    <font>
      <name val="宋体"/>
      <charset val="-122"/>
      <family val="0"/>
      <color rgb="FFFF0000"/>
      <sz val="11"/>
    </font>
    <font>
      <name val="宋体"/>
      <charset val="-122"/>
      <family val="0"/>
      <i val="1"/>
      <color rgb="FF7F7F7F"/>
      <sz val="11"/>
    </font>
    <font>
      <name val="宋体"/>
      <charset val="-122"/>
      <family val="0"/>
      <b val="1"/>
      <color rgb="FFFFFFFF"/>
      <sz val="11"/>
    </font>
    <font>
      <name val="宋体"/>
      <charset val="-122"/>
      <family val="0"/>
      <b val="1"/>
      <color rgb="FFFA7D00"/>
      <sz val="11"/>
    </font>
    <font>
      <name val="宋体"/>
      <charset val="-122"/>
      <family val="0"/>
      <b val="1"/>
      <color rgb="FF000000"/>
      <sz val="11"/>
    </font>
    <font>
      <name val="宋体"/>
      <charset val="-122"/>
      <family val="0"/>
      <color rgb="FF006100"/>
      <sz val="11"/>
    </font>
    <font>
      <name val="宋体"/>
      <charset val="-122"/>
      <family val="0"/>
      <color rgb="FF9C0006"/>
      <sz val="11"/>
    </font>
    <font>
      <name val="宋体"/>
      <charset val="-122"/>
      <family val="0"/>
      <b val="1"/>
      <color theme="3"/>
      <sz val="11"/>
    </font>
    <font>
      <name val="宋体"/>
      <charset val="-122"/>
      <family val="0"/>
      <color rgb="FF000000"/>
      <sz val="11"/>
    </font>
    <font>
      <name val="宋体"/>
      <charset val="-122"/>
      <family val="0"/>
      <color rgb="FFFFFFFF"/>
      <sz val="11"/>
    </font>
    <font>
      <name val="宋体"/>
      <charset val="-122"/>
      <family val="0"/>
      <color rgb="FF3F3F76"/>
      <sz val="11"/>
    </font>
    <font>
      <name val="宋体"/>
      <charset val="-122"/>
      <family val="0"/>
      <b val="1"/>
      <color rgb="FF3F3F3F"/>
      <sz val="11"/>
    </font>
    <font>
      <name val="宋体"/>
      <charset val="-122"/>
      <family val="0"/>
      <color rgb="FF9C6500"/>
      <sz val="11"/>
    </font>
    <font>
      <name val="宋体"/>
      <charset val="-122"/>
      <family val="0"/>
      <b val="1"/>
      <color theme="3"/>
      <sz val="18"/>
    </font>
    <font>
      <name val="宋体"/>
      <charset val="-122"/>
      <family val="0"/>
      <b val="1"/>
      <color theme="3"/>
      <sz val="15"/>
    </font>
    <font>
      <name val="宋体"/>
      <charset val="-122"/>
      <family val="0"/>
      <b val="1"/>
      <color theme="3"/>
      <sz val="13"/>
    </font>
  </fonts>
  <fills count="3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>
        <color rgb="FF000000"/>
      </top>
      <bottom style="thin">
        <color auto="1"/>
      </bottom>
    </border>
    <border>
      <left style="thin">
        <color auto="1"/>
      </left>
      <right style="thin">
        <color auto="1"/>
      </right>
      <top>
        <color rgb="FF000000"/>
      </top>
      <bottom>
        <color rgb="FF000000"/>
      </bottom>
    </border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</border>
    <border>
      <left>
        <color rgb="FF000000"/>
      </left>
      <right>
        <color rgb="FF000000"/>
      </right>
      <top>
        <color rgb="FF000000"/>
      </top>
      <bottom style="medium">
        <color theme="4" tint="0.39998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</border>
    <border>
      <left>
        <color rgb="FF000000"/>
      </left>
      <right>
        <color rgb="FF000000"/>
      </right>
      <top>
        <color rgb="FF000000"/>
      </top>
      <bottom style="thick">
        <color theme="4" tint="0.49995"/>
      </bottom>
    </border>
  </borders>
  <cellStyleXfs>
    <xf numFmtId="300" fontId="18" fillId="0" borderId="5" xfId="0">
      <alignment vertical="center"/>
      <protection/>
    </xf>
    <xf numFmtId="300" fontId="19" fillId="4" borderId="6" xfId="0" applyNumberFormat="0" applyFill="0" applyAlignment="0" applyProtection="0"/>
    <xf numFmtId="300" fontId="20" fillId="4" borderId="5" xfId="0" applyNumberFormat="0" applyFill="0" applyBorder="0" applyAlignment="0" applyProtection="0"/>
    <xf numFmtId="300" fontId="21" fillId="4" borderId="5" xfId="0" applyNumberFormat="0" applyFill="0" applyBorder="0" applyAlignment="0" applyProtection="0"/>
    <xf numFmtId="300" fontId="22" fillId="5" borderId="7" xfId="0" applyNumberFormat="0" applyAlignment="0" applyProtection="0"/>
    <xf numFmtId="300" fontId="23" fillId="6" borderId="8" xfId="0" applyNumberFormat="0" applyAlignment="0" applyProtection="0"/>
    <xf numFmtId="300" fontId="24" fillId="4" borderId="9" xfId="0" applyNumberFormat="0" applyFill="0" applyAlignment="0" applyProtection="0"/>
    <xf numFmtId="300" fontId="25" fillId="7" borderId="5" xfId="0" applyNumberFormat="0" applyBorder="0" applyAlignment="0" applyProtection="0"/>
    <xf numFmtId="300" fontId="26" fillId="8" borderId="5" xfId="0" applyNumberFormat="0" applyBorder="0" applyAlignment="0" applyProtection="0"/>
    <xf numFmtId="300" fontId="27" fillId="4" borderId="5" xfId="0" applyNumberFormat="0" applyFill="0" applyBorder="0" applyAlignment="0" applyProtection="0"/>
    <xf numFmtId="300" fontId="27" fillId="4" borderId="10" xfId="0" applyNumberFormat="0" applyFill="0" applyAlignment="0" applyProtection="0"/>
    <xf numFmtId="301" fontId="18" fillId="4" borderId="5" xfId="0" applyFont="0" applyFill="0" applyBorder="0" applyAlignment="0" applyProtection="0"/>
    <xf numFmtId="300" fontId="28" fillId="9" borderId="5" xfId="0" applyNumberFormat="0" applyBorder="0" applyAlignment="0" applyProtection="0"/>
    <xf numFmtId="300" fontId="28" fillId="10" borderId="5" xfId="0" applyNumberFormat="0" applyBorder="0" applyAlignment="0" applyProtection="0"/>
    <xf numFmtId="300" fontId="28" fillId="11" borderId="5" xfId="0" applyNumberFormat="0" applyBorder="0" applyAlignment="0" applyProtection="0"/>
    <xf numFmtId="300" fontId="28" fillId="12" borderId="5" xfId="0" applyNumberFormat="0" applyBorder="0" applyAlignment="0" applyProtection="0"/>
    <xf numFmtId="300" fontId="29" fillId="13" borderId="5" xfId="0" applyNumberFormat="0" applyBorder="0" applyAlignment="0" applyProtection="0"/>
    <xf numFmtId="300" fontId="29" fillId="14" borderId="5" xfId="0" applyNumberFormat="0" applyBorder="0" applyAlignment="0" applyProtection="0"/>
    <xf numFmtId="300" fontId="29" fillId="15" borderId="5" xfId="0" applyNumberFormat="0" applyBorder="0" applyAlignment="0" applyProtection="0"/>
    <xf numFmtId="300" fontId="29" fillId="16" borderId="5" xfId="0" applyNumberFormat="0" applyBorder="0" applyAlignment="0" applyProtection="0"/>
    <xf numFmtId="300" fontId="29" fillId="17" borderId="5" xfId="0" applyNumberFormat="0" applyBorder="0" applyAlignment="0" applyProtection="0"/>
    <xf numFmtId="300" fontId="29" fillId="18" borderId="5" xfId="0" applyNumberFormat="0" applyBorder="0" applyAlignment="0" applyProtection="0"/>
    <xf numFmtId="300" fontId="30" fillId="19" borderId="8" xfId="0" applyNumberFormat="0" applyAlignment="0" applyProtection="0"/>
    <xf numFmtId="300" fontId="28" fillId="20" borderId="5" xfId="0" applyNumberFormat="0" applyBorder="0" applyAlignment="0" applyProtection="0"/>
    <xf numFmtId="300" fontId="18" fillId="21" borderId="11" xfId="0" applyNumberFormat="0" applyFont="0" applyAlignment="0" applyProtection="0"/>
    <xf numFmtId="300" fontId="28" fillId="22" borderId="5" xfId="0" applyNumberFormat="0" applyBorder="0" applyAlignment="0" applyProtection="0"/>
    <xf numFmtId="300" fontId="31" fillId="6" borderId="12" xfId="0" applyNumberFormat="0" applyAlignment="0" applyProtection="0"/>
    <xf numFmtId="300" fontId="28" fillId="23" borderId="5" xfId="0" applyNumberFormat="0" applyBorder="0" applyAlignment="0" applyProtection="0"/>
    <xf numFmtId="300" fontId="32" fillId="24" borderId="5" xfId="0" applyNumberFormat="0" applyBorder="0" applyAlignment="0" applyProtection="0"/>
    <xf numFmtId="300" fontId="28" fillId="25" borderId="5" xfId="0" applyNumberFormat="0" applyBorder="0" applyAlignment="0" applyProtection="0"/>
    <xf numFmtId="300" fontId="29" fillId="26" borderId="5" xfId="0" applyNumberFormat="0" applyBorder="0" applyAlignment="0" applyProtection="0"/>
    <xf numFmtId="300" fontId="29" fillId="27" borderId="5" xfId="0" applyNumberFormat="0" applyBorder="0" applyAlignment="0" applyProtection="0"/>
    <xf numFmtId="300" fontId="28" fillId="28" borderId="5" xfId="0" applyNumberFormat="0" applyBorder="0" applyAlignment="0" applyProtection="0"/>
    <xf numFmtId="300" fontId="28" fillId="29" borderId="5" xfId="0" applyNumberFormat="0" applyBorder="0" applyAlignment="0" applyProtection="0"/>
    <xf numFmtId="300" fontId="28" fillId="30" borderId="5" xfId="0" applyNumberFormat="0" applyBorder="0" applyAlignment="0" applyProtection="0"/>
    <xf numFmtId="300" fontId="29" fillId="31" borderId="5" xfId="0" applyNumberFormat="0" applyBorder="0" applyAlignment="0" applyProtection="0"/>
    <xf numFmtId="300" fontId="28" fillId="32" borderId="5" xfId="0" applyNumberFormat="0" applyBorder="0" applyAlignment="0" applyProtection="0"/>
    <xf numFmtId="300" fontId="29" fillId="33" borderId="5" xfId="0" applyNumberFormat="0" applyBorder="0" applyAlignment="0" applyProtection="0"/>
    <xf numFmtId="300" fontId="29" fillId="34" borderId="5" xfId="0" applyNumberFormat="0" applyBorder="0" applyAlignment="0" applyProtection="0"/>
    <xf numFmtId="302" fontId="18" fillId="4" borderId="5" xfId="0" applyFont="0" applyFill="0" applyBorder="0" applyAlignment="0" applyProtection="0"/>
    <xf numFmtId="300" fontId="29" fillId="35" borderId="5" xfId="0" applyNumberFormat="0" applyBorder="0" applyAlignment="0" applyProtection="0"/>
    <xf numFmtId="303" fontId="18" fillId="4" borderId="5" xfId="0" applyFont="0" applyFill="0" applyBorder="0" applyAlignment="0" applyProtection="0"/>
    <xf numFmtId="300" fontId="33" fillId="4" borderId="5" xfId="0" applyNumberFormat="0" applyFill="0" applyBorder="0" applyAlignment="0" applyProtection="0"/>
    <xf numFmtId="304" fontId="18" fillId="4" borderId="5" xfId="0" applyFont="0" applyFill="0" applyBorder="0" applyAlignment="0" applyProtection="0"/>
    <xf numFmtId="300" fontId="34" fillId="4" borderId="13" xfId="0" applyNumberFormat="0" applyFill="0" applyAlignment="0" applyProtection="0"/>
    <xf numFmtId="305" fontId="18" fillId="4" borderId="5" xfId="0" applyFont="0" applyFill="0" applyBorder="0" applyAlignment="0" applyProtection="0"/>
    <xf numFmtId="300" fontId="35" fillId="4" borderId="14" xfId="0" applyNumberFormat="0" applyFill="0" applyAlignment="0" applyProtection="0"/>
  </cellStyleXfs>
  <cellXfs count="4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7" borderId="1" xfId="7" applyFont="1" applyBorder="1" applyAlignment="1" applyProtection="1">
      <alignment horizontal="center" vertical="center"/>
      <protection/>
    </xf>
    <xf numFmtId="300" fontId="4" fillId="2" borderId="1" xfId="0" applyFont="1" applyFill="1" applyBorder="1" applyAlignment="1" applyProtection="1">
      <alignment horizontal="left" vertical="center" wrapText="1"/>
      <protection/>
    </xf>
    <xf numFmtId="300" fontId="5" fillId="2" borderId="1" xfId="0" applyFont="1" applyFill="1" applyBorder="1" applyAlignment="1" applyProtection="1">
      <alignment horizontal="center" vertical="center" wrapText="1"/>
      <protection/>
    </xf>
    <xf numFmtId="300" fontId="5" fillId="2" borderId="2" xfId="0" applyFont="1" applyFill="1" applyBorder="1" applyAlignment="1" applyProtection="1">
      <alignment horizontal="center" vertical="center"/>
      <protection/>
    </xf>
    <xf numFmtId="300" fontId="6" fillId="0" borderId="2" xfId="0" applyFont="1" applyBorder="1" applyAlignment="1" applyProtection="1">
      <alignment horizontal="center" vertical="center" wrapText="1"/>
      <protection/>
    </xf>
    <xf numFmtId="300" fontId="7" fillId="7" borderId="2" xfId="7" applyFont="1" applyBorder="1" applyAlignment="1" applyProtection="1">
      <alignment horizontal="center" vertical="center" wrapText="1"/>
      <protection/>
    </xf>
    <xf numFmtId="300" fontId="7" fillId="7" borderId="2" xfId="7" applyFont="1" applyBorder="1" applyAlignment="1" applyProtection="1">
      <alignment horizontal="center" vertical="center"/>
      <protection/>
    </xf>
    <xf numFmtId="300" fontId="8" fillId="0" borderId="2" xfId="0" applyFont="1" applyBorder="1" applyAlignment="1" applyProtection="1">
      <alignment horizontal="center" vertical="center" wrapText="1"/>
      <protection/>
    </xf>
    <xf numFmtId="300" fontId="4" fillId="2" borderId="3" xfId="0" applyFont="1" applyFill="1" applyBorder="1" applyAlignment="1" applyProtection="1">
      <alignment horizontal="left" vertical="center" wrapText="1"/>
      <protection/>
    </xf>
    <xf numFmtId="300" fontId="9" fillId="2" borderId="3" xfId="0" applyFont="1" applyFill="1" applyBorder="1" applyAlignment="1" applyProtection="1">
      <alignment horizontal="center" vertical="center" wrapText="1"/>
      <protection/>
    </xf>
    <xf numFmtId="300" fontId="10" fillId="0" borderId="3" xfId="0" applyFont="1" applyBorder="1" applyAlignment="1" applyProtection="1">
      <alignment horizontal="left" vertical="center" wrapText="1"/>
      <protection/>
    </xf>
    <xf numFmtId="300" fontId="11" fillId="0" borderId="3" xfId="0" applyFont="1" applyBorder="1" applyAlignment="1" applyProtection="1">
      <alignment horizontal="center" vertical="center" wrapText="1"/>
      <protection/>
    </xf>
    <xf numFmtId="300" fontId="12" fillId="24" borderId="2" xfId="28" applyFont="1" applyBorder="1" applyAlignment="1" applyProtection="1">
      <alignment horizontal="center" vertical="center" wrapText="1"/>
      <protection locked="0"/>
    </xf>
    <xf numFmtId="300" fontId="13" fillId="0" borderId="2" xfId="0" applyFont="1" applyBorder="1" applyAlignment="1" applyProtection="1">
      <alignment horizontal="left" vertical="center" wrapText="1"/>
      <protection/>
    </xf>
    <xf numFmtId="300" fontId="3" fillId="7" borderId="2" xfId="7" applyFont="1" applyBorder="1" applyAlignment="1" applyProtection="1">
      <alignment horizontal="center" vertical="center"/>
      <protection/>
    </xf>
    <xf numFmtId="300" fontId="14" fillId="0" borderId="2" xfId="0" applyFont="1" applyBorder="1" applyAlignment="1" applyProtection="1">
      <alignment horizontal="center" vertical="center" wrapText="1"/>
      <protection/>
    </xf>
    <xf numFmtId="300" fontId="10" fillId="0" borderId="2" xfId="0" applyFont="1" applyBorder="1" applyAlignment="1" applyProtection="1">
      <alignment horizontal="left" vertical="center" wrapText="1"/>
      <protection/>
    </xf>
    <xf numFmtId="300" fontId="11" fillId="0" borderId="2" xfId="0" applyFont="1" applyBorder="1" applyAlignment="1" applyProtection="1">
      <alignment horizontal="center" vertical="center" wrapText="1"/>
      <protection/>
    </xf>
    <xf numFmtId="300" fontId="9" fillId="0" borderId="2" xfId="0" applyFont="1" applyBorder="1" applyAlignment="1" applyProtection="1">
      <alignment horizontal="center" vertical="center" wrapText="1"/>
      <protection/>
    </xf>
    <xf numFmtId="300" fontId="14" fillId="0" borderId="1" xfId="0" applyFont="1" applyBorder="1" applyAlignment="1" applyProtection="1">
      <alignment horizontal="center" vertical="center" wrapText="1"/>
      <protection/>
    </xf>
    <xf numFmtId="300" fontId="14" fillId="0" borderId="2" xfId="0" applyFont="1" applyBorder="1" applyAlignment="1" applyProtection="1">
      <alignment horizontal="justify" vertical="center" wrapText="1"/>
      <protection/>
    </xf>
    <xf numFmtId="300" fontId="14" fillId="0" borderId="4" xfId="0" applyFont="1" applyBorder="1" applyAlignment="1" applyProtection="1">
      <alignment horizontal="center" vertical="center" wrapText="1"/>
      <protection/>
    </xf>
    <xf numFmtId="300" fontId="3" fillId="7" borderId="4" xfId="7" applyFont="1" applyBorder="1" applyAlignment="1" applyProtection="1">
      <alignment horizontal="center" vertical="center"/>
      <protection/>
    </xf>
    <xf numFmtId="300" fontId="14" fillId="0" borderId="3" xfId="0" applyFont="1" applyBorder="1" applyAlignment="1" applyProtection="1">
      <alignment horizontal="center" vertical="center" wrapText="1"/>
      <protection/>
    </xf>
    <xf numFmtId="300" fontId="3" fillId="7" borderId="3" xfId="7" applyFont="1" applyBorder="1" applyAlignment="1" applyProtection="1">
      <alignment horizontal="center" vertical="center"/>
      <protection/>
    </xf>
    <xf numFmtId="300" fontId="10" fillId="0" borderId="1" xfId="0" applyFont="1" applyBorder="1" applyAlignment="1" applyProtection="1">
      <alignment vertical="center" wrapText="1"/>
      <protection/>
    </xf>
    <xf numFmtId="300" fontId="9" fillId="0" borderId="5" xfId="0" applyFont="1" applyAlignment="1" applyProtection="1">
      <alignment horizontal="center" vertical="center"/>
      <protection/>
    </xf>
    <xf numFmtId="300" fontId="15" fillId="0" borderId="5" xfId="0" applyFont="1" applyAlignment="1" applyProtection="1">
      <alignment horizontal="center" vertical="center" wrapText="1"/>
      <protection/>
    </xf>
    <xf numFmtId="300" fontId="16" fillId="0" borderId="5" xfId="0" applyFont="1" applyAlignment="1">
      <alignment horizontal="center" vertical="center" wrapText="1"/>
      <protection/>
    </xf>
    <xf numFmtId="300" fontId="18" fillId="0" borderId="5" xfId="0" applyAlignment="1">
      <alignment horizontal="center" vertical="center"/>
      <protection/>
    </xf>
    <xf numFmtId="300" fontId="16" fillId="0" borderId="5" xfId="0" applyFont="1" applyAlignment="1">
      <alignment horizontal="justify" vertical="top" wrapText="1"/>
      <protection/>
    </xf>
    <xf numFmtId="300" fontId="16" fillId="0" borderId="5" xfId="0" applyFont="1" applyAlignment="1">
      <alignment horizontal="justify" vertical="center" wrapText="1"/>
      <protection/>
    </xf>
    <xf numFmtId="300" fontId="18" fillId="3" borderId="2" xfId="0" applyFill="1" applyBorder="1" applyAlignment="1" applyProtection="1">
      <alignment horizontal="center" vertical="center"/>
      <protection/>
    </xf>
    <xf numFmtId="300" fontId="18" fillId="0" borderId="5" xfId="0">
      <alignment vertical="center"/>
      <protection/>
    </xf>
    <xf numFmtId="300" fontId="18" fillId="0" borderId="5" xfId="0" applyAlignment="1">
      <alignment vertical="center" wrapText="1"/>
      <protection/>
    </xf>
    <xf fontId="17" fillId="0" borderId="0" xfId="0">
      <alignment vertical="center"/>
    </xf>
    <xf numFmtId="300" fontId="9" fillId="4" borderId="5" xfId="0" applyNumberFormat="1" applyFont="1" applyFill="1" applyBorder="1" applyAlignment="1" applyProtection="1">
      <alignment horizontal="left" vertical="center"/>
      <protection/>
    </xf>
    <xf numFmtId="300" fontId="18" fillId="4" borderId="5" xfId="0" applyNumberFormat="1" applyFill="1" applyBorder="1" applyAlignment="1" applyProtection="1">
      <alignment horizontal="center" vertical="center"/>
      <protection/>
    </xf>
    <xf numFmtId="300" fontId="18" fillId="4" borderId="5" xfId="0" applyNumberFormat="1" applyFill="1" applyBorder="1" applyAlignment="1" applyProtection="1">
      <alignment vertical="center"/>
      <protection/>
    </xf>
    <xf numFmtId="300" fontId="18" fillId="4" borderId="5" xfId="0" applyNumberFormat="1" applyFill="1" applyBorder="1" applyAlignment="1">
      <alignment vertical="center"/>
      <protection/>
    </xf>
  </cellXfs>
  <cellStyles>
    <cellStyle name="Normal" xfId="0" builtinId="0"/>
    <cellStyle name="链接单元格" xfId="1"/>
    <cellStyle name="警告文本" xfId="2"/>
    <cellStyle name="解释性文本" xfId="3"/>
    <cellStyle name="检查单元格" xfId="4"/>
    <cellStyle name="计算" xfId="5"/>
    <cellStyle name="汇总" xfId="6"/>
    <cellStyle name="好" xfId="7"/>
    <cellStyle name="差" xfId="8"/>
    <cellStyle name="标题 4" xfId="9"/>
    <cellStyle name="标题 3" xfId="10"/>
    <cellStyle name="Currency [0]" xfId="11" builtinId="7"/>
    <cellStyle name="40% - 强调文字颜色 2" xfId="12"/>
    <cellStyle name="40% - 强调文字颜色 3" xfId="13"/>
    <cellStyle name="40% - 强调文字颜色 4" xfId="14"/>
    <cellStyle name="40% - 强调文字颜色 5" xfId="15"/>
    <cellStyle name="60% - 强调文字颜色 1" xfId="16"/>
    <cellStyle name="60% - 强调文字颜色 2" xfId="17"/>
    <cellStyle name="强调文字颜色 1" xfId="18"/>
    <cellStyle name="强调文字颜色 2" xfId="19"/>
    <cellStyle name="强调文字颜色 3" xfId="20"/>
    <cellStyle name="强调文字颜色 4" xfId="21"/>
    <cellStyle name="输入" xfId="22"/>
    <cellStyle name="20% - 强调文字颜色 3" xfId="23"/>
    <cellStyle name="注释" xfId="24"/>
    <cellStyle name="20% - 强调文字颜色 4" xfId="25"/>
    <cellStyle name="输出" xfId="26"/>
    <cellStyle name="20% - 强调文字颜色 2" xfId="27"/>
    <cellStyle name="适中" xfId="28"/>
    <cellStyle name="20% - 强调文字颜色 1" xfId="29"/>
    <cellStyle name="强调文字颜色 6" xfId="30"/>
    <cellStyle name="强调文字颜色 5" xfId="31"/>
    <cellStyle name="40% - 强调文字颜色 1" xfId="32"/>
    <cellStyle name="20% - 强调文字颜色 6" xfId="33"/>
    <cellStyle name="40% - 强调文字颜色 6" xfId="34"/>
    <cellStyle name="60% - 强调文字颜色 3" xfId="35"/>
    <cellStyle name="20% - 强调文字颜色 5" xfId="36"/>
    <cellStyle name="60% - 强调文字颜色 4" xfId="37"/>
    <cellStyle name="60% - 强调文字颜色 5" xfId="38"/>
    <cellStyle name="Comma" xfId="39" builtinId="3"/>
    <cellStyle name="60% - 强调文字颜色 6" xfId="40"/>
    <cellStyle name="Currency" xfId="41" builtinId="4"/>
    <cellStyle name="标题" xfId="42"/>
    <cellStyle name="Percent" xfId="43" builtinId="5"/>
    <cellStyle name="标题 1" xfId="44"/>
    <cellStyle name="Comma [0]" xfId="45" builtinId="6"/>
    <cellStyle name="标题 2" xfId="46"/>
  </cellStyles>
  <dxfs count="1"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Z36"/>
  <sheetViews>
    <sheetView showGridLines="1" tabSelected="0" topLeftCell="A1" workbookViewId="0"/>
  </sheetViews>
  <sheetFormatPr baseColWidth="8" defaultRowHeight="14.25"/>
  <cols>
    <col min="1" max="1" width="39.875" style="40"/>
    <col min="2" max="2" width="6.125" style="41"/>
    <col min="3" max="5" width="6.75" style="41"/>
    <col min="6" max="6" width="9.125" style="41"/>
    <col min="7" max="7" width="7.125" style="42"/>
    <col min="8" max="8" width="29.75" style="42"/>
    <col min="9" max="9" width="6" style="41" bestFit="1"/>
    <col min="10" max="10" width="10.25" style="42" bestFit="1"/>
    <col min="11" max="11" width="21" style="42"/>
    <col min="12" max="12" width="6" style="42" bestFit="1"/>
    <col min="13" max="26" width="9" style="42"/>
  </cols>
  <sheetData>
    <row r="1" spans="1:12" ht="14.25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7" t="s">
        <v>8</v>
      </c>
      <c r="H1" s="8" t="s">
        <v>9</v>
      </c>
      <c r="I1" s="9" t="s">
        <v>10</v>
      </c>
      <c r="J1" s="10" t="s">
        <v>11</v>
      </c>
      <c r="K1" s="8" t="s">
        <v>72</v>
      </c>
      <c r="L1" s="11" t="s">
        <v>12</v>
      </c>
    </row>
    <row r="2" spans="1:12" ht="31.5">
      <c r="A2" s="12" t="s"/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7" t="s"/>
      <c r="H2" s="8" t="s"/>
      <c r="I2" s="10" t="s"/>
      <c r="J2" s="10" t="s"/>
      <c r="K2" s="8" t="s"/>
      <c r="L2" s="11" t="s"/>
    </row>
    <row r="3" spans="1:12" ht="21" customHeight="1">
      <c r="A3" s="14" t="s">
        <v>18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6" t="s"/>
      <c r="H3" s="17" t="s">
        <v>73</v>
      </c>
      <c r="I3" s="18">
        <f>=SUM($G$4:$G$6,$G$16)</f>
        <v>0</v>
      </c>
      <c r="J3" s="18" t="str">
        <f>=IF(I3&lt;=8,"否",IF(OR(I3=9,I3=10),"倾向是","是"))</f>
        <v>否</v>
      </c>
      <c r="K3" s="19" t="s">
        <v>74</v>
      </c>
      <c r="L3" s="19" t="s">
        <v>1</v>
      </c>
    </row>
    <row r="4" spans="1:12" ht="22.5">
      <c r="A4" s="20" t="s">
        <v>20</v>
      </c>
      <c r="B4" s="21">
        <v>1</v>
      </c>
      <c r="C4" s="21">
        <v>2</v>
      </c>
      <c r="D4" s="21">
        <v>3</v>
      </c>
      <c r="E4" s="21">
        <v>4</v>
      </c>
      <c r="F4" s="21">
        <v>5</v>
      </c>
      <c r="G4" s="16" t="s"/>
      <c r="H4" s="17" t="s">
        <v>75</v>
      </c>
      <c r="I4" s="18">
        <f>=SUM($G$13:$G$15,$G$31)</f>
        <v>0</v>
      </c>
      <c r="J4" s="18" t="str">
        <f>=IF(I4&lt;=8,"否",IF(OR(I4=9,I4=10),"倾向是","是"))</f>
        <v>否</v>
      </c>
      <c r="K4" s="19" t="s"/>
      <c r="L4" s="19" t="s"/>
    </row>
    <row r="5" spans="1:12" ht="22.5" customHeight="1">
      <c r="A5" s="20" t="s">
        <v>21</v>
      </c>
      <c r="B5" s="21">
        <v>1</v>
      </c>
      <c r="C5" s="21">
        <v>2</v>
      </c>
      <c r="D5" s="21">
        <v>3</v>
      </c>
      <c r="E5" s="21">
        <v>4</v>
      </c>
      <c r="F5" s="21">
        <v>5</v>
      </c>
      <c r="G5" s="16" t="s"/>
      <c r="H5" s="17" t="s">
        <v>76</v>
      </c>
      <c r="I5" s="18">
        <f>=SUM($G$12,$G$23,$G$28,$G$33)</f>
        <v>0</v>
      </c>
      <c r="J5" s="18" t="str">
        <f>=IF(I5&lt;=8,"否",IF(OR(I5=9,I5=10),"倾向是","是"))</f>
        <v>否</v>
      </c>
      <c r="K5" s="19" t="s"/>
      <c r="L5" s="19" t="s"/>
    </row>
    <row r="6" spans="1:12" ht="21" customHeight="1">
      <c r="A6" s="20" t="s">
        <v>22</v>
      </c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16" t="s"/>
      <c r="H6" s="17" t="s">
        <v>77</v>
      </c>
      <c r="I6" s="18">
        <f>=SUM($G$11,$G$18,$G$30,$G$34)</f>
        <v>0</v>
      </c>
      <c r="J6" s="18" t="str">
        <f>=IF(I6&lt;=8,"否",IF(OR(I6=9,I6=10),"倾向是","是"))</f>
        <v>否</v>
      </c>
      <c r="K6" s="19" t="s">
        <v>78</v>
      </c>
      <c r="L6" s="19" t="s">
        <v>23</v>
      </c>
    </row>
    <row r="7" spans="1:12" ht="22.5">
      <c r="A7" s="20" t="s">
        <v>24</v>
      </c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16" t="s"/>
      <c r="H7" s="17" t="s">
        <v>79</v>
      </c>
      <c r="I7" s="18">
        <f>=SUM($G$25,$G$27,$G$29,$G$32)</f>
        <v>0</v>
      </c>
      <c r="J7" s="18" t="str">
        <f>=IF(I7&lt;=8,"否",IF(OR(I7=9,I7=10),"倾向是","是"))</f>
        <v>否</v>
      </c>
      <c r="K7" s="19" t="s"/>
      <c r="L7" s="19" t="s"/>
    </row>
    <row r="8" spans="1:12" ht="21.75" customHeight="1">
      <c r="A8" s="20" t="s">
        <v>25</v>
      </c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16" t="s"/>
      <c r="H8" s="17" t="s">
        <v>80</v>
      </c>
      <c r="I8" s="18">
        <f>=SUM($G$21,$G$24,$G$26,$G$35)</f>
        <v>0</v>
      </c>
      <c r="J8" s="18" t="str">
        <f>=IF(I8&lt;=8,"否",IF(OR(I8=9,I8=10),"倾向是","是"))</f>
        <v>否</v>
      </c>
      <c r="K8" s="19" t="s"/>
      <c r="L8" s="19" t="s"/>
    </row>
    <row r="9" spans="1:12" ht="20.25" customHeight="1">
      <c r="A9" s="20" t="s">
        <v>26</v>
      </c>
      <c r="B9" s="21">
        <v>1</v>
      </c>
      <c r="C9" s="21">
        <v>2</v>
      </c>
      <c r="D9" s="21">
        <v>3</v>
      </c>
      <c r="E9" s="21">
        <v>4</v>
      </c>
      <c r="F9" s="21">
        <v>5</v>
      </c>
      <c r="G9" s="16" t="s"/>
      <c r="H9" s="17" t="s">
        <v>81</v>
      </c>
      <c r="I9" s="18">
        <f>=SUM($G$7:$G$10)</f>
        <v>0</v>
      </c>
      <c r="J9" s="18" t="str">
        <f>=IF(I9&lt;=8,"否",IF(OR(I9=9,I9=10),"倾向是","是"))</f>
        <v>否</v>
      </c>
      <c r="K9" s="19" t="s">
        <v>82</v>
      </c>
      <c r="L9" s="19" t="s">
        <v>19</v>
      </c>
    </row>
    <row r="10" spans="1:12" ht="20.25" customHeight="1">
      <c r="A10" s="20" t="s">
        <v>27</v>
      </c>
      <c r="B10" s="21">
        <v>1</v>
      </c>
      <c r="C10" s="21">
        <v>2</v>
      </c>
      <c r="D10" s="21">
        <v>3</v>
      </c>
      <c r="E10" s="21">
        <v>4</v>
      </c>
      <c r="F10" s="21">
        <v>5</v>
      </c>
      <c r="G10" s="16" t="s"/>
      <c r="H10" s="17" t="s">
        <v>83</v>
      </c>
      <c r="I10" s="18">
        <f>=SUM($G$17,$G$19,$G$20,$G$22)</f>
        <v>0</v>
      </c>
      <c r="J10" s="18" t="str">
        <f>=IF(I10&lt;=8,"否",IF(OR(I10=9,I10=10),"倾向是","是"))</f>
        <v>否</v>
      </c>
      <c r="K10" s="19" t="s"/>
      <c r="L10" s="19" t="s"/>
    </row>
    <row r="11" spans="1:12" ht="31.5">
      <c r="A11" s="20" t="s">
        <v>28</v>
      </c>
      <c r="B11" s="22" t="s">
        <v>29</v>
      </c>
      <c r="C11" s="22" t="s">
        <v>30</v>
      </c>
      <c r="D11" s="22" t="s">
        <v>31</v>
      </c>
      <c r="E11" s="22" t="s">
        <v>32</v>
      </c>
      <c r="F11" s="22" t="s">
        <v>33</v>
      </c>
      <c r="G11" s="16" t="s"/>
      <c r="H11" s="23" t="s">
        <v>84</v>
      </c>
      <c r="I11" s="4">
        <f>=SUM($G$3,6-$G$4,6-$G$6,6-$G$7,6-$G$15)</f>
        <v>24</v>
      </c>
      <c r="J11" s="4" t="str">
        <f t="array" ref="J11">=IF(AND(I11&gt;=17,I3:I10&lt;8),"是",IF(AND(I11&gt;=17,I3:I10&lt;10),"基本是","否"))</f>
        <v>是</v>
      </c>
      <c r="K11" s="24" t="s">
        <v>85</v>
      </c>
      <c r="L11" s="19" t="s">
        <v>1</v>
      </c>
    </row>
    <row r="12" spans="1:12" ht="24">
      <c r="A12" s="20" t="s">
        <v>34</v>
      </c>
      <c r="B12" s="21">
        <v>1</v>
      </c>
      <c r="C12" s="21">
        <v>2</v>
      </c>
      <c r="D12" s="21">
        <v>3</v>
      </c>
      <c r="E12" s="21">
        <v>4</v>
      </c>
      <c r="F12" s="21">
        <v>5</v>
      </c>
      <c r="G12" s="16" t="s"/>
      <c r="H12" s="25" t="s"/>
      <c r="I12" s="26" t="s"/>
      <c r="J12" s="26" t="s"/>
      <c r="K12" s="24" t="s">
        <v>86</v>
      </c>
      <c r="L12" s="19" t="s">
        <v>35</v>
      </c>
    </row>
    <row r="13" spans="1:12" ht="22.5">
      <c r="A13" s="20" t="s">
        <v>36</v>
      </c>
      <c r="B13" s="21">
        <v>1</v>
      </c>
      <c r="C13" s="21">
        <v>2</v>
      </c>
      <c r="D13" s="21">
        <v>3</v>
      </c>
      <c r="E13" s="21">
        <v>4</v>
      </c>
      <c r="F13" s="21">
        <v>5</v>
      </c>
      <c r="G13" s="16" t="s"/>
      <c r="H13" s="27" t="s"/>
      <c r="I13" s="28" t="s"/>
      <c r="J13" s="28" t="s"/>
      <c r="K13" s="24" t="s">
        <v>37</v>
      </c>
      <c r="L13" s="19" t="s">
        <v>19</v>
      </c>
    </row>
    <row r="14" spans="1:7" ht="22.5">
      <c r="A14" s="20" t="s">
        <v>38</v>
      </c>
      <c r="B14" s="21">
        <v>1</v>
      </c>
      <c r="C14" s="21">
        <v>2</v>
      </c>
      <c r="D14" s="21">
        <v>3</v>
      </c>
      <c r="E14" s="21">
        <v>4</v>
      </c>
      <c r="F14" s="21">
        <v>5</v>
      </c>
      <c r="G14" s="16" t="s"/>
    </row>
    <row r="15" spans="1:7" ht="22.5">
      <c r="A15" s="20" t="s">
        <v>39</v>
      </c>
      <c r="B15" s="21">
        <v>1</v>
      </c>
      <c r="C15" s="21">
        <v>2</v>
      </c>
      <c r="D15" s="21">
        <v>3</v>
      </c>
      <c r="E15" s="21">
        <v>4</v>
      </c>
      <c r="F15" s="21">
        <v>5</v>
      </c>
      <c r="G15" s="16" t="s"/>
    </row>
    <row r="16" spans="1:7" ht="42">
      <c r="A16" s="29" t="s">
        <v>40</v>
      </c>
      <c r="B16" s="22" t="s">
        <v>87</v>
      </c>
      <c r="C16" s="22" t="s">
        <v>41</v>
      </c>
      <c r="D16" s="22" t="s">
        <v>42</v>
      </c>
      <c r="E16" s="22" t="s">
        <v>43</v>
      </c>
      <c r="F16" s="22" t="s">
        <v>44</v>
      </c>
      <c r="G16" s="16" t="s"/>
    </row>
    <row r="17" spans="1:7" ht="20.25">
      <c r="A17" s="20" t="s">
        <v>45</v>
      </c>
      <c r="B17" s="21">
        <v>1</v>
      </c>
      <c r="C17" s="21">
        <v>2</v>
      </c>
      <c r="D17" s="21">
        <v>3</v>
      </c>
      <c r="E17" s="21">
        <v>4</v>
      </c>
      <c r="F17" s="21">
        <v>5</v>
      </c>
      <c r="G17" s="16" t="s"/>
    </row>
    <row r="18" spans="1:7" ht="20.25">
      <c r="A18" s="20" t="s">
        <v>46</v>
      </c>
      <c r="B18" s="21">
        <v>1</v>
      </c>
      <c r="C18" s="21">
        <v>2</v>
      </c>
      <c r="D18" s="21">
        <v>3</v>
      </c>
      <c r="E18" s="21">
        <v>4</v>
      </c>
      <c r="F18" s="21">
        <v>5</v>
      </c>
      <c r="G18" s="16" t="s"/>
    </row>
    <row r="19" spans="1:7" ht="31.5">
      <c r="A19" s="29" t="s">
        <v>47</v>
      </c>
      <c r="B19" s="22" t="s">
        <v>48</v>
      </c>
      <c r="C19" s="22" t="s">
        <v>49</v>
      </c>
      <c r="D19" s="22" t="s">
        <v>50</v>
      </c>
      <c r="E19" s="22" t="s">
        <v>51</v>
      </c>
      <c r="F19" s="22" t="s">
        <v>52</v>
      </c>
      <c r="G19" s="16" t="s"/>
    </row>
    <row r="20" spans="1:7" ht="22.5">
      <c r="A20" s="20" t="s">
        <v>53</v>
      </c>
      <c r="B20" s="21">
        <v>1</v>
      </c>
      <c r="C20" s="21">
        <v>2</v>
      </c>
      <c r="D20" s="21">
        <v>3</v>
      </c>
      <c r="E20" s="21">
        <v>4</v>
      </c>
      <c r="F20" s="21">
        <v>5</v>
      </c>
      <c r="G20" s="16" t="s"/>
    </row>
    <row r="21" spans="1:7" ht="22.5">
      <c r="A21" s="20" t="s">
        <v>54</v>
      </c>
      <c r="B21" s="21">
        <v>1</v>
      </c>
      <c r="C21" s="21">
        <v>2</v>
      </c>
      <c r="D21" s="21">
        <v>3</v>
      </c>
      <c r="E21" s="21">
        <v>4</v>
      </c>
      <c r="F21" s="21">
        <v>5</v>
      </c>
      <c r="G21" s="16" t="s"/>
    </row>
    <row r="22" spans="1:7" ht="22.5">
      <c r="A22" s="20" t="s">
        <v>55</v>
      </c>
      <c r="B22" s="21">
        <v>1</v>
      </c>
      <c r="C22" s="21">
        <v>2</v>
      </c>
      <c r="D22" s="21">
        <v>3</v>
      </c>
      <c r="E22" s="21">
        <v>4</v>
      </c>
      <c r="F22" s="21">
        <v>5</v>
      </c>
      <c r="G22" s="16" t="s"/>
    </row>
    <row r="23" spans="1:7" ht="20.25">
      <c r="A23" s="20" t="s">
        <v>56</v>
      </c>
      <c r="B23" s="21">
        <v>1</v>
      </c>
      <c r="C23" s="21">
        <v>2</v>
      </c>
      <c r="D23" s="21">
        <v>3</v>
      </c>
      <c r="E23" s="21">
        <v>4</v>
      </c>
      <c r="F23" s="21">
        <v>5</v>
      </c>
      <c r="G23" s="16" t="s"/>
    </row>
    <row r="24" spans="1:7" ht="20.25">
      <c r="A24" s="20" t="s">
        <v>57</v>
      </c>
      <c r="B24" s="21">
        <v>1</v>
      </c>
      <c r="C24" s="21">
        <v>2</v>
      </c>
      <c r="D24" s="21">
        <v>3</v>
      </c>
      <c r="E24" s="21">
        <v>4</v>
      </c>
      <c r="F24" s="21">
        <v>5</v>
      </c>
      <c r="G24" s="16" t="s"/>
    </row>
    <row r="25" spans="1:7" ht="22.5">
      <c r="A25" s="20" t="s">
        <v>58</v>
      </c>
      <c r="B25" s="21">
        <v>1</v>
      </c>
      <c r="C25" s="21">
        <v>2</v>
      </c>
      <c r="D25" s="21">
        <v>3</v>
      </c>
      <c r="E25" s="21">
        <v>4</v>
      </c>
      <c r="F25" s="21">
        <v>5</v>
      </c>
      <c r="G25" s="16" t="s"/>
    </row>
    <row r="26" spans="1:7" ht="20.25">
      <c r="A26" s="20" t="s">
        <v>59</v>
      </c>
      <c r="B26" s="21">
        <v>1</v>
      </c>
      <c r="C26" s="21">
        <v>2</v>
      </c>
      <c r="D26" s="21">
        <v>3</v>
      </c>
      <c r="E26" s="21">
        <v>4</v>
      </c>
      <c r="F26" s="21">
        <v>5</v>
      </c>
      <c r="G26" s="16" t="s"/>
    </row>
    <row r="27" spans="1:7" ht="20.25">
      <c r="A27" s="20" t="s">
        <v>60</v>
      </c>
      <c r="B27" s="21">
        <v>1</v>
      </c>
      <c r="C27" s="21">
        <v>2</v>
      </c>
      <c r="D27" s="21">
        <v>3</v>
      </c>
      <c r="E27" s="21">
        <v>4</v>
      </c>
      <c r="F27" s="21">
        <v>5</v>
      </c>
      <c r="G27" s="16" t="s"/>
    </row>
    <row r="28" spans="1:7" ht="20.25">
      <c r="A28" s="20" t="s">
        <v>61</v>
      </c>
      <c r="B28" s="21">
        <v>1</v>
      </c>
      <c r="C28" s="21">
        <v>2</v>
      </c>
      <c r="D28" s="21">
        <v>3</v>
      </c>
      <c r="E28" s="21">
        <v>4</v>
      </c>
      <c r="F28" s="21">
        <v>5</v>
      </c>
      <c r="G28" s="16" t="s"/>
    </row>
    <row r="29" spans="1:7" ht="20.25">
      <c r="A29" s="20" t="s">
        <v>62</v>
      </c>
      <c r="B29" s="21">
        <v>1</v>
      </c>
      <c r="C29" s="21">
        <v>2</v>
      </c>
      <c r="D29" s="21">
        <v>3</v>
      </c>
      <c r="E29" s="21">
        <v>4</v>
      </c>
      <c r="F29" s="21">
        <v>5</v>
      </c>
      <c r="G29" s="16" t="s"/>
    </row>
    <row r="30" spans="1:7" ht="52.5">
      <c r="A30" s="20" t="s">
        <v>63</v>
      </c>
      <c r="B30" s="22" t="s">
        <v>88</v>
      </c>
      <c r="C30" s="22" t="s">
        <v>89</v>
      </c>
      <c r="D30" s="22" t="s">
        <v>90</v>
      </c>
      <c r="E30" s="22" t="s">
        <v>91</v>
      </c>
      <c r="F30" s="22" t="s">
        <v>92</v>
      </c>
      <c r="G30" s="16" t="s"/>
    </row>
    <row r="31" spans="1:7" ht="22.5">
      <c r="A31" s="20" t="s">
        <v>64</v>
      </c>
      <c r="B31" s="21">
        <v>1</v>
      </c>
      <c r="C31" s="21">
        <v>2</v>
      </c>
      <c r="D31" s="21">
        <v>3</v>
      </c>
      <c r="E31" s="21">
        <v>4</v>
      </c>
      <c r="F31" s="21">
        <v>5</v>
      </c>
      <c r="G31" s="16" t="s"/>
    </row>
    <row r="32" spans="1:7" ht="22.5">
      <c r="A32" s="20" t="s">
        <v>65</v>
      </c>
      <c r="B32" s="21">
        <v>1</v>
      </c>
      <c r="C32" s="21">
        <v>2</v>
      </c>
      <c r="D32" s="21">
        <v>3</v>
      </c>
      <c r="E32" s="21">
        <v>4</v>
      </c>
      <c r="F32" s="21">
        <v>5</v>
      </c>
      <c r="G32" s="16" t="s"/>
    </row>
    <row r="33" spans="1:7" ht="20.25">
      <c r="A33" s="20" t="s">
        <v>66</v>
      </c>
      <c r="B33" s="21">
        <v>1</v>
      </c>
      <c r="C33" s="21">
        <v>2</v>
      </c>
      <c r="D33" s="21">
        <v>3</v>
      </c>
      <c r="E33" s="21">
        <v>4</v>
      </c>
      <c r="F33" s="21">
        <v>5</v>
      </c>
      <c r="G33" s="16" t="s"/>
    </row>
    <row r="34" spans="1:7" ht="22.5">
      <c r="A34" s="20" t="s">
        <v>67</v>
      </c>
      <c r="B34" s="21">
        <v>1</v>
      </c>
      <c r="C34" s="21">
        <v>2</v>
      </c>
      <c r="D34" s="21">
        <v>3</v>
      </c>
      <c r="E34" s="21">
        <v>4</v>
      </c>
      <c r="F34" s="21">
        <v>5</v>
      </c>
      <c r="G34" s="16" t="s"/>
    </row>
    <row r="35" spans="1:7" ht="22.5">
      <c r="A35" s="20" t="s">
        <v>68</v>
      </c>
      <c r="B35" s="21">
        <v>1</v>
      </c>
      <c r="C35" s="21">
        <v>2</v>
      </c>
      <c r="D35" s="21">
        <v>3</v>
      </c>
      <c r="E35" s="21">
        <v>4</v>
      </c>
      <c r="F35" s="21">
        <v>5</v>
      </c>
      <c r="G35" s="16" t="s"/>
    </row>
    <row r="36" spans="6:7" ht="14.25">
      <c r="F36" s="30" t="s"/>
      <c r="G36" s="31" t="s"/>
    </row>
  </sheetData>
  <sheetProtection password="CF7A" sheet="1" objects="1" scenarios="1" selectLockedCells="1"/>
  <mergeCells count="16">
    <mergeCell ref="G1:G2"/>
    <mergeCell ref="A1:A2"/>
    <mergeCell ref="H1:H2"/>
    <mergeCell ref="K1:K2"/>
    <mergeCell ref="I1:I2"/>
    <mergeCell ref="J1:J2"/>
    <mergeCell ref="H11:H13"/>
    <mergeCell ref="L1:L2"/>
    <mergeCell ref="I11:I13"/>
    <mergeCell ref="K6:K8"/>
    <mergeCell ref="L6:L8"/>
    <mergeCell ref="K3:K5"/>
    <mergeCell ref="L3:L5"/>
    <mergeCell ref="K9:K10"/>
    <mergeCell ref="L9:L10"/>
    <mergeCell ref="J11:J13"/>
  </mergeCells>
  <conditionalFormatting sqref="J3:J13">
    <cfRule type="cellIs" dxfId="0" priority="1" stopIfTrue="1" operator="equal">
      <formula>"基本是"</formula>
      <formula>"基本是"</formula>
    </cfRule>
  </conditionalFormatting>
  <conditionalFormatting sqref="J3:J13">
    <cfRule type="cellIs" dxfId="0" priority="2" stopIfTrue="1" operator="equal">
      <formula>"是"</formula>
      <formula>"是"</formula>
    </cfRule>
  </conditionalFormatting>
  <printOptions horizontalCentered="1"/>
  <pageMargins left="0.354331" right="0.354331" top="0.393701" bottom="0.19685" header="0.511811" footer="0.511811"/>
  <pageSetup paperSize="9" orientation="portrait" verticalDpi="300"/>
  <headerFooter alignWithMargins="0"/>
</worksheet>
</file>

<file path=xl/worksheets/sheet2.xml><?xml version="1.0" encoding="utf-8"?>
<worksheet xmlns="http://schemas.openxmlformats.org/spreadsheetml/2006/main">
  <sheetPr/>
  <dimension ref="Z13"/>
  <sheetViews>
    <sheetView showGridLines="1" topLeftCell="A1" workbookViewId="0"/>
  </sheetViews>
  <sheetFormatPr defaultColWidth="35.125" defaultRowHeight="14.25"/>
  <cols>
    <col min="1" max="1" width="42.375" style="43" bestFit="1"/>
    <col min="2" max="2" width="34.125" style="43" bestFit="1"/>
    <col min="3" max="3" width="9.25" style="43" bestFit="1"/>
    <col min="4" max="5" width="9.5" style="43" bestFit="1"/>
    <col min="6" max="26" width="35.125" style="43"/>
  </cols>
  <sheetData>
    <row r="1" spans="1:5" ht="19.5">
      <c r="A1" s="32" t="s">
        <v>9</v>
      </c>
      <c r="B1" s="32" t="s">
        <v>93</v>
      </c>
      <c r="C1" s="32" t="s">
        <v>69</v>
      </c>
      <c r="D1" s="33" t="s">
        <v>70</v>
      </c>
      <c r="E1" s="33" t="s">
        <v>11</v>
      </c>
    </row>
    <row r="2" spans="1:5" ht="19.5">
      <c r="A2" s="32" t="s"/>
      <c r="B2" s="32" t="s"/>
      <c r="C2" s="32" t="s">
        <v>71</v>
      </c>
      <c r="D2" s="33" t="s"/>
      <c r="E2" s="33" t="s"/>
    </row>
    <row r="3" spans="1:5" ht="20.25">
      <c r="A3" s="34" t="s">
        <v>94</v>
      </c>
      <c r="B3" s="35" t="s">
        <v>95</v>
      </c>
      <c r="C3" s="32" t="s">
        <v>1</v>
      </c>
      <c r="D3" s="36" t="e">
        <f>=SUM(#REF!,#REF!)</f>
        <v>#REF!</v>
      </c>
      <c r="E3" s="37" t="s"/>
    </row>
    <row r="4" spans="1:5" ht="20.25">
      <c r="A4" s="34" t="s">
        <v>96</v>
      </c>
      <c r="B4" s="35" t="s"/>
      <c r="C4" s="32" t="s"/>
      <c r="D4" s="36" t="e">
        <f>=SUM(#REF!,#REF!)</f>
        <v>#REF!</v>
      </c>
      <c r="E4" s="37" t="s"/>
    </row>
    <row r="5" spans="1:5" ht="20.25">
      <c r="A5" s="34" t="s">
        <v>97</v>
      </c>
      <c r="B5" s="35" t="s"/>
      <c r="C5" s="32" t="s"/>
      <c r="D5" s="36" t="e">
        <f>=SUM(#REF!,#REF!,#REF!,#REF!)</f>
        <v>#REF!</v>
      </c>
      <c r="E5" s="37" t="s"/>
    </row>
    <row r="6" spans="1:5" ht="20.25">
      <c r="A6" s="34" t="s">
        <v>98</v>
      </c>
      <c r="B6" s="35" t="s"/>
      <c r="C6" s="32" t="s"/>
      <c r="D6" s="36" t="e">
        <f>=SUM(#REF!,#REF!,#REF!,#REF!)</f>
        <v>#REF!</v>
      </c>
      <c r="E6" s="37" t="s"/>
    </row>
    <row r="7" spans="1:5" ht="20.25">
      <c r="A7" s="34" t="s">
        <v>99</v>
      </c>
      <c r="B7" s="35" t="s"/>
      <c r="C7" s="32" t="s"/>
      <c r="D7" s="36" t="e">
        <f>=SUM(#REF!,#REF!,#REF!,#REF!)</f>
        <v>#REF!</v>
      </c>
      <c r="E7" s="37" t="s"/>
    </row>
    <row r="8" spans="1:5" ht="20.25">
      <c r="A8" s="34" t="s">
        <v>100</v>
      </c>
      <c r="B8" s="35" t="s"/>
      <c r="C8" s="32" t="s"/>
      <c r="D8" s="36" t="e">
        <f>=SUM(#REF!,#REF!,#REF!,#REF!)</f>
        <v>#REF!</v>
      </c>
      <c r="E8" s="37" t="s"/>
    </row>
    <row r="9" spans="1:5" ht="20.25">
      <c r="A9" s="34" t="s">
        <v>101</v>
      </c>
      <c r="B9" s="35" t="s">
        <v>102</v>
      </c>
      <c r="C9" s="32" t="s">
        <v>23</v>
      </c>
      <c r="D9" s="36" t="e">
        <f>=SUM(#REF!)</f>
        <v>#REF!</v>
      </c>
      <c r="E9" s="37" t="s"/>
    </row>
    <row r="10" spans="1:5" ht="20.25">
      <c r="A10" s="34" t="s">
        <v>103</v>
      </c>
      <c r="B10" s="35" t="s">
        <v>104</v>
      </c>
      <c r="C10" s="32" t="s">
        <v>19</v>
      </c>
      <c r="D10" s="36" t="e">
        <f>=SUM(#REF!,#REF!,#REF!,#REF!)</f>
        <v>#REF!</v>
      </c>
      <c r="E10" s="37" t="s"/>
    </row>
    <row r="11" spans="1:3" ht="40.5">
      <c r="A11" s="35" t="s">
        <v>105</v>
      </c>
      <c r="B11" s="35" t="s">
        <v>106</v>
      </c>
      <c r="C11" s="32" t="s">
        <v>1</v>
      </c>
    </row>
    <row r="12" spans="1:3" ht="60.75">
      <c r="A12" s="35" t="s">
        <v>107</v>
      </c>
      <c r="B12" s="35" t="s">
        <v>108</v>
      </c>
      <c r="C12" s="32" t="s">
        <v>35</v>
      </c>
    </row>
    <row r="13" spans="1:3" ht="19.5">
      <c r="A13" s="38" t="s"/>
      <c r="B13" s="35" t="s">
        <v>37</v>
      </c>
      <c r="C13" s="32" t="s">
        <v>19</v>
      </c>
    </row>
  </sheetData>
  <sheetProtection/>
  <mergeCells count="6">
    <mergeCell ref="A1:A2"/>
    <mergeCell ref="B1:B2"/>
    <mergeCell ref="B3:B8"/>
    <mergeCell ref="C3:C8"/>
    <mergeCell ref="D1:D2"/>
    <mergeCell ref="E1:E2"/>
  </mergeCells>
  <pageMargins left="0.75" right="0.75" top="1" bottom="1" header="0.5" footer="0.5"/>
  <pageSetup paperSize="9" orientation="portrait" verticalDpi="300"/>
  <headerFooter alignWithMargins="0"/>
</worksheet>
</file>

<file path=xl/worksheets/sheet3.xml><?xml version="1.0" encoding="utf-8"?>
<worksheet xmlns="http://schemas.openxmlformats.org/spreadsheetml/2006/main">
  <sheetPr/>
  <dimension ref="A1"/>
  <sheetViews>
    <sheetView showGridLines="1" topLeftCell="A1" workbookViewId="0"/>
  </sheetViews>
  <sheetFormatPr baseColWidth="8" defaultRowHeight="14.25"/>
  <sheetData/>
  <sheetProtection/>
  <pageMargins left="0.75" right="0.75" top="1" bottom="1" header="0.5" footer="0.5"/>
  <pageSetup orientation="portrait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2026-09-16T16:26:36Z</dcterms:created>
  <dcterms:modified xsi:type="dcterms:W3CDTF">2026-09-16T16:26:36Z</dcterms:modified>
</cp:coreProperties>
</file>